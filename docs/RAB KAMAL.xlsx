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62CD6BA-21E7-4C19-A2B0-1B6F1E6ED7C2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RAB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7" l="1"/>
  <c r="F22" i="17"/>
  <c r="F20" i="17"/>
  <c r="F19" i="17"/>
  <c r="F18" i="17"/>
  <c r="F17" i="17"/>
  <c r="D19" i="17"/>
  <c r="D25" i="17"/>
  <c r="D22" i="17"/>
  <c r="D21" i="17"/>
  <c r="D20" i="17"/>
  <c r="D18" i="17"/>
  <c r="D17" i="17"/>
  <c r="D16" i="17"/>
  <c r="D13" i="17"/>
  <c r="D11" i="17"/>
  <c r="D8" i="17"/>
  <c r="G8" i="17" l="1"/>
  <c r="G33" i="17"/>
  <c r="D27" i="17"/>
  <c r="D48" i="17" s="1"/>
  <c r="G25" i="17"/>
  <c r="G21" i="17"/>
  <c r="G19" i="17"/>
  <c r="G18" i="17"/>
  <c r="G17" i="17"/>
  <c r="G16" i="17"/>
  <c r="G13" i="17"/>
  <c r="G11" i="17"/>
  <c r="G65" i="17"/>
  <c r="G64" i="17"/>
  <c r="G63" i="17"/>
  <c r="G62" i="17"/>
  <c r="G61" i="17"/>
  <c r="G60" i="17"/>
  <c r="G59" i="17"/>
  <c r="G56" i="17"/>
  <c r="G55" i="17"/>
  <c r="G54" i="17"/>
  <c r="G53" i="17"/>
  <c r="G52" i="17"/>
  <c r="D49" i="17"/>
  <c r="G49" i="17" s="1"/>
  <c r="G45" i="17"/>
  <c r="G44" i="17"/>
  <c r="G43" i="17"/>
  <c r="G40" i="17"/>
  <c r="G39" i="17"/>
  <c r="G38" i="17"/>
  <c r="G37" i="17"/>
  <c r="G34" i="17"/>
  <c r="G32" i="17"/>
  <c r="G31" i="17"/>
  <c r="G30" i="17"/>
  <c r="G26" i="17"/>
  <c r="G22" i="17"/>
  <c r="G20" i="17"/>
  <c r="G12" i="17"/>
  <c r="G7" i="17"/>
  <c r="G9" i="17" s="1"/>
  <c r="G46" i="17" l="1"/>
  <c r="G48" i="17"/>
  <c r="G50" i="17" s="1"/>
  <c r="G27" i="17"/>
  <c r="G28" i="17"/>
  <c r="G66" i="17"/>
  <c r="G57" i="17"/>
  <c r="G41" i="17"/>
  <c r="G35" i="17"/>
  <c r="G14" i="17"/>
  <c r="G23" i="17"/>
  <c r="G68" i="17" l="1"/>
  <c r="G70" i="17" l="1"/>
</calcChain>
</file>

<file path=xl/sharedStrings.xml><?xml version="1.0" encoding="utf-8"?>
<sst xmlns="http://schemas.openxmlformats.org/spreadsheetml/2006/main" count="110" uniqueCount="76">
  <si>
    <t>NO</t>
  </si>
  <si>
    <t>ITEM</t>
  </si>
  <si>
    <t>bh</t>
  </si>
  <si>
    <t>VOL</t>
  </si>
  <si>
    <t>SAT</t>
  </si>
  <si>
    <t>HRG SAT</t>
  </si>
  <si>
    <t>JML HRG</t>
  </si>
  <si>
    <t>I</t>
  </si>
  <si>
    <t>PEKERJAAN PERSIAPAN</t>
  </si>
  <si>
    <t>Bongkar &amp; Buang Bangunan</t>
  </si>
  <si>
    <t>ls</t>
  </si>
  <si>
    <t>II</t>
  </si>
  <si>
    <t>PEKERJAAN TANAH</t>
  </si>
  <si>
    <t>Galian Strauss @ 3 m</t>
  </si>
  <si>
    <t>m1</t>
  </si>
  <si>
    <t>Galian Peil cap 60x60x20</t>
  </si>
  <si>
    <t>m3</t>
  </si>
  <si>
    <t>III</t>
  </si>
  <si>
    <t>PEKERJAAN BETON</t>
  </si>
  <si>
    <t>Pondasi Strauss @ 3 m 12 titik</t>
  </si>
  <si>
    <t>Peil cap 12 titik 60x60x20</t>
  </si>
  <si>
    <t>Kolom 15x20</t>
  </si>
  <si>
    <t>Rabatan beton t 10 cm</t>
  </si>
  <si>
    <t>IV</t>
  </si>
  <si>
    <t>PEKERJAAN PASANGAN</t>
  </si>
  <si>
    <t>Pondasi batu kumbung</t>
  </si>
  <si>
    <t>m2</t>
  </si>
  <si>
    <t xml:space="preserve">Plester + acian </t>
  </si>
  <si>
    <t>V</t>
  </si>
  <si>
    <t>PEKERJAAN ATAP</t>
  </si>
  <si>
    <t xml:space="preserve">Plafon gypsum + rangka Hollow </t>
  </si>
  <si>
    <t>Rangka atap galvalum</t>
  </si>
  <si>
    <t>lisplang kalsiboard</t>
  </si>
  <si>
    <t>VI</t>
  </si>
  <si>
    <t>PEKERJAAN KUSEN , PINTU &amp; JENDELA</t>
  </si>
  <si>
    <t>Kusen aluminium 3 "</t>
  </si>
  <si>
    <t>Daun jendela + Kaca 6mm clear</t>
  </si>
  <si>
    <t>Daun pintu kayu + handle</t>
  </si>
  <si>
    <t xml:space="preserve">Pintu PVC </t>
  </si>
  <si>
    <t>VII</t>
  </si>
  <si>
    <t>PEKERJAAN LANTAI</t>
  </si>
  <si>
    <t>Lantai keramik KM 30x30</t>
  </si>
  <si>
    <t>Dinding keramik KM 30x60</t>
  </si>
  <si>
    <t>VIII</t>
  </si>
  <si>
    <t>PEKERJAAN CAT</t>
  </si>
  <si>
    <t>Cat dinding Paragon</t>
  </si>
  <si>
    <t>Cat Plafon Paragon</t>
  </si>
  <si>
    <t>IX</t>
  </si>
  <si>
    <t xml:space="preserve">PEKERJAAN INSTALASI LISTRIK </t>
  </si>
  <si>
    <t>Instalasi Saklar Singgle</t>
  </si>
  <si>
    <t>Instalasi Saklar Double</t>
  </si>
  <si>
    <t>Instalasi Lampu</t>
  </si>
  <si>
    <t>Instalasi Stop kontak</t>
  </si>
  <si>
    <t>nh</t>
  </si>
  <si>
    <t>MCB</t>
  </si>
  <si>
    <t>X</t>
  </si>
  <si>
    <t>PEKERJAAN INSTALASI AIR</t>
  </si>
  <si>
    <t>Instalasi Air Kotor PVC 4"</t>
  </si>
  <si>
    <t>Instalasi Air Kotor PVC 3"</t>
  </si>
  <si>
    <t>Instalasi Air Bresih PVC 3/4"</t>
  </si>
  <si>
    <t>Bak Mandi PVC</t>
  </si>
  <si>
    <t>unit</t>
  </si>
  <si>
    <t>Avour</t>
  </si>
  <si>
    <t>Karan Air</t>
  </si>
  <si>
    <t>Closed duduk</t>
  </si>
  <si>
    <t>TOTAL</t>
  </si>
  <si>
    <t>urugan t 70 cm</t>
  </si>
  <si>
    <t>cor sloof 15x25</t>
  </si>
  <si>
    <t>Ring balok 15x20</t>
  </si>
  <si>
    <t>Cor dek atap 12 cm</t>
  </si>
  <si>
    <t xml:space="preserve">Dinding bata ringan </t>
  </si>
  <si>
    <t>Lantai Granit 60x60</t>
  </si>
  <si>
    <t>Atap genteng beton</t>
  </si>
  <si>
    <t>Genteng wuwung</t>
  </si>
  <si>
    <t>RENCANA ANGGARAN BIAYA TALON</t>
  </si>
  <si>
    <t>ttk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</si>
</sst>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1" fontId="6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</cellStyleXfs>
  <cellXfs count="54">
    <xf numFmtId="0" fontId="0" fillId="0" borderId="0" xfId="0"/>
    <xf numFmtId="41" fontId="0" fillId="0" borderId="1" xfId="1" applyFont="1" applyFill="1" applyBorder="1"/>
    <xf numFmtId="41" fontId="7" fillId="0" borderId="1" xfId="1" applyFont="1" applyFill="1" applyBorder="1" applyAlignment="1">
      <alignment horizontal="center"/>
    </xf>
    <xf numFmtId="164" fontId="0" fillId="0" borderId="1" xfId="3" applyNumberFormat="1" applyFont="1" applyFill="1" applyBorder="1"/>
    <xf numFmtId="0" fontId="7" fillId="2" borderId="2" xfId="0" applyFont="1" applyFill="1" applyBorder="1" applyAlignment="1">
      <alignment horizontal="center"/>
    </xf>
    <xf numFmtId="43" fontId="7" fillId="0" borderId="1" xfId="3" applyFont="1" applyFill="1" applyBorder="1" applyAlignment="1">
      <alignment horizontal="center"/>
    </xf>
    <xf numFmtId="43" fontId="0" fillId="0" borderId="1" xfId="3" applyFont="1" applyFill="1" applyBorder="1"/>
    <xf numFmtId="41" fontId="7" fillId="0" borderId="1" xfId="1" applyFont="1" applyFill="1" applyBorder="1"/>
    <xf numFmtId="43" fontId="7" fillId="0" borderId="1" xfId="3" applyFont="1" applyFill="1" applyBorder="1"/>
    <xf numFmtId="164" fontId="7" fillId="0" borderId="1" xfId="3" applyNumberFormat="1" applyFont="1" applyFill="1" applyBorder="1"/>
    <xf numFmtId="43" fontId="4" fillId="0" borderId="2" xfId="3" applyFont="1" applyFill="1" applyBorder="1" applyAlignment="1">
      <alignment horizontal="center"/>
    </xf>
    <xf numFmtId="164" fontId="4" fillId="0" borderId="2" xfId="3" applyNumberFormat="1" applyFont="1" applyFill="1" applyBorder="1" applyAlignment="1">
      <alignment horizontal="center"/>
    </xf>
    <xf numFmtId="164" fontId="4" fillId="0" borderId="1" xfId="3" applyNumberFormat="1" applyFont="1" applyFill="1" applyBorder="1" applyAlignment="1">
      <alignment horizontal="center"/>
    </xf>
    <xf numFmtId="164" fontId="7" fillId="0" borderId="1" xfId="3" applyNumberFormat="1" applyFont="1" applyFill="1" applyBorder="1" applyAlignment="1">
      <alignment horizontal="center"/>
    </xf>
    <xf numFmtId="43" fontId="4" fillId="0" borderId="1" xfId="3" applyFont="1" applyFill="1" applyBorder="1"/>
    <xf numFmtId="41" fontId="4" fillId="0" borderId="1" xfId="1" applyFont="1" applyFill="1" applyBorder="1"/>
    <xf numFmtId="43" fontId="12" fillId="0" borderId="1" xfId="3" applyFont="1" applyFill="1" applyBorder="1"/>
    <xf numFmtId="164" fontId="13" fillId="0" borderId="1" xfId="3" applyNumberFormat="1" applyFont="1" applyFill="1" applyBorder="1" applyAlignment="1">
      <alignment horizontal="right"/>
    </xf>
    <xf numFmtId="43" fontId="0" fillId="0" borderId="4" xfId="3" applyFont="1" applyFill="1" applyBorder="1"/>
    <xf numFmtId="41" fontId="7" fillId="0" borderId="0" xfId="1" applyFont="1"/>
    <xf numFmtId="164" fontId="4" fillId="0" borderId="1" xfId="3" applyNumberFormat="1" applyFont="1" applyFill="1" applyBorder="1"/>
    <xf numFmtId="43" fontId="4" fillId="0" borderId="2" xfId="3" applyFont="1" applyFill="1" applyBorder="1"/>
    <xf numFmtId="43" fontId="10" fillId="0" borderId="1" xfId="3" applyFont="1" applyFill="1" applyBorder="1"/>
    <xf numFmtId="43" fontId="4" fillId="0" borderId="1" xfId="3" applyFont="1" applyFill="1" applyBorder="1" applyAlignment="1">
      <alignment horizontal="center"/>
    </xf>
    <xf numFmtId="0" fontId="3" fillId="0" borderId="0" xfId="0" applyFont="1"/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7" fillId="0" borderId="1" xfId="0" applyFont="1" applyBorder="1"/>
    <xf numFmtId="0" fontId="0" fillId="0" borderId="1" xfId="0" applyBorder="1"/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1" fillId="0" borderId="1" xfId="2" applyFont="1" applyBorder="1"/>
    <xf numFmtId="0" fontId="12" fillId="0" borderId="1" xfId="2" applyFont="1" applyBorder="1" applyAlignment="1">
      <alignment vertical="top"/>
    </xf>
    <xf numFmtId="0" fontId="12" fillId="0" borderId="1" xfId="2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7" fillId="0" borderId="3" xfId="0" applyFont="1" applyBorder="1" applyAlignment="1">
      <alignment horizontal="center"/>
    </xf>
    <xf numFmtId="164" fontId="7" fillId="0" borderId="3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41" fontId="0" fillId="0" borderId="0" xfId="0" applyNumberFormat="1"/>
    <xf numFmtId="0" fontId="7" fillId="0" borderId="0" xfId="0" applyFont="1" applyAlignment="1">
      <alignment horizontal="center"/>
    </xf>
    <xf numFmtId="41" fontId="0" fillId="0" borderId="0" xfId="1" applyFont="1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4">
    <cellStyle name="Comma" xfId="3" builtinId="3"/>
    <cellStyle name="Comma [0]" xfId="1" builtinId="6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6707-BA86-4834-B755-0E9D41E662F1}">
  <dimension ref="B2:K75"/>
  <sheetViews>
    <sheetView tabSelected="1" workbookViewId="0">
      <selection activeCell="I13" sqref="I13"/>
    </sheetView>
  </sheetViews>
  <sheetFormatPr defaultRowHeight="15"/>
  <cols>
    <col min="2" max="2" width="4" bestFit="1" customWidth="1"/>
    <col min="3" max="3" width="35.42578125" bestFit="1" customWidth="1"/>
    <col min="4" max="4" width="8" bestFit="1" customWidth="1"/>
    <col min="5" max="5" width="4.5703125" bestFit="1" customWidth="1"/>
    <col min="6" max="6" width="10.5703125" bestFit="1" customWidth="1"/>
    <col min="7" max="7" width="12.5703125" bestFit="1" customWidth="1"/>
    <col min="10" max="10" width="17.28515625" customWidth="1"/>
  </cols>
  <sheetData>
    <row r="2" spans="2:7">
      <c r="B2" s="50" t="s">
        <v>74</v>
      </c>
      <c r="C2" s="50"/>
      <c r="D2" s="50"/>
      <c r="E2" s="50"/>
      <c r="F2" s="50"/>
      <c r="G2" s="50"/>
    </row>
    <row r="4" spans="2:7">
      <c r="B4" s="4" t="s">
        <v>0</v>
      </c>
      <c r="C4" s="4" t="s">
        <v>1</v>
      </c>
      <c r="D4" s="4" t="s">
        <v>3</v>
      </c>
      <c r="E4" s="4" t="s">
        <v>4</v>
      </c>
      <c r="F4" s="4" t="s">
        <v>5</v>
      </c>
      <c r="G4" s="4" t="s">
        <v>6</v>
      </c>
    </row>
    <row r="5" spans="2:7" ht="18.75">
      <c r="B5" s="25"/>
      <c r="C5" s="26"/>
      <c r="D5" s="5"/>
      <c r="E5" s="25"/>
      <c r="F5" s="2"/>
      <c r="G5" s="2"/>
    </row>
    <row r="6" spans="2:7">
      <c r="B6" s="25" t="s">
        <v>7</v>
      </c>
      <c r="C6" s="27" t="s">
        <v>8</v>
      </c>
      <c r="D6" s="5"/>
      <c r="E6" s="25"/>
      <c r="F6" s="25"/>
      <c r="G6" s="25"/>
    </row>
    <row r="7" spans="2:7">
      <c r="B7" s="28"/>
      <c r="C7" s="29" t="s">
        <v>9</v>
      </c>
      <c r="D7" s="10">
        <v>1</v>
      </c>
      <c r="E7" s="30" t="s">
        <v>10</v>
      </c>
      <c r="F7" s="11">
        <v>5000000</v>
      </c>
      <c r="G7" s="11">
        <f>+D7*F7</f>
        <v>5000000</v>
      </c>
    </row>
    <row r="8" spans="2:7">
      <c r="B8" s="28"/>
      <c r="C8" s="47" t="s">
        <v>66</v>
      </c>
      <c r="D8" s="10">
        <f>73*0.7</f>
        <v>51.099999999999994</v>
      </c>
      <c r="E8" s="48" t="s">
        <v>16</v>
      </c>
      <c r="F8" s="11">
        <v>130000</v>
      </c>
      <c r="G8" s="11">
        <f>+D8*F8</f>
        <v>6642999.9999999991</v>
      </c>
    </row>
    <row r="9" spans="2:7">
      <c r="B9" s="28"/>
      <c r="C9" s="28"/>
      <c r="D9" s="6"/>
      <c r="E9" s="28"/>
      <c r="F9" s="1"/>
      <c r="G9" s="7">
        <f>+G7+G8</f>
        <v>11643000</v>
      </c>
    </row>
    <row r="10" spans="2:7">
      <c r="B10" s="25" t="s">
        <v>11</v>
      </c>
      <c r="C10" s="27" t="s">
        <v>12</v>
      </c>
      <c r="D10" s="8"/>
      <c r="E10" s="25"/>
      <c r="F10" s="9"/>
      <c r="G10" s="9"/>
    </row>
    <row r="11" spans="2:7">
      <c r="B11" s="28"/>
      <c r="C11" s="31" t="s">
        <v>13</v>
      </c>
      <c r="D11" s="14">
        <f>3*17</f>
        <v>51</v>
      </c>
      <c r="E11" s="32" t="s">
        <v>14</v>
      </c>
      <c r="F11" s="20">
        <v>60000</v>
      </c>
      <c r="G11" s="11">
        <f t="shared" ref="G11:G13" si="0">+D11*F11</f>
        <v>3060000</v>
      </c>
    </row>
    <row r="12" spans="2:7">
      <c r="B12" s="28"/>
      <c r="C12" s="31" t="s">
        <v>15</v>
      </c>
      <c r="D12" s="14">
        <v>17</v>
      </c>
      <c r="E12" s="52" t="s">
        <v>75</v>
      </c>
      <c r="F12" s="20">
        <v>125000</v>
      </c>
      <c r="G12" s="11">
        <f t="shared" si="0"/>
        <v>2125000</v>
      </c>
    </row>
    <row r="13" spans="2:7">
      <c r="B13" s="28"/>
      <c r="C13" s="27" t="s">
        <v>66</v>
      </c>
      <c r="D13" s="14">
        <f>72.3*0.7</f>
        <v>50.609999999999992</v>
      </c>
      <c r="E13" s="32" t="s">
        <v>16</v>
      </c>
      <c r="F13" s="20">
        <v>145000</v>
      </c>
      <c r="G13" s="11">
        <f t="shared" si="0"/>
        <v>7338449.9999999991</v>
      </c>
    </row>
    <row r="14" spans="2:7">
      <c r="B14" s="28"/>
      <c r="C14" s="28"/>
      <c r="D14" s="6"/>
      <c r="E14" s="28"/>
      <c r="F14" s="1"/>
      <c r="G14" s="7">
        <f>SUM(G11:G13)</f>
        <v>12523450</v>
      </c>
    </row>
    <row r="15" spans="2:7">
      <c r="B15" s="25" t="s">
        <v>17</v>
      </c>
      <c r="C15" s="27" t="s">
        <v>18</v>
      </c>
      <c r="D15" s="8"/>
      <c r="E15" s="25"/>
      <c r="F15" s="9"/>
      <c r="G15" s="9"/>
    </row>
    <row r="16" spans="2:7">
      <c r="B16" s="28"/>
      <c r="C16" s="33" t="s">
        <v>19</v>
      </c>
      <c r="D16" s="21">
        <f>3.14*0.15*0.15*3*17</f>
        <v>3.6031499999999994</v>
      </c>
      <c r="E16" s="30" t="s">
        <v>16</v>
      </c>
      <c r="F16" s="11">
        <v>4000000</v>
      </c>
      <c r="G16" s="11">
        <f t="shared" ref="G16:G22" si="1">+D16*F16</f>
        <v>14412599.999999998</v>
      </c>
    </row>
    <row r="17" spans="2:11">
      <c r="B17" s="28"/>
      <c r="C17" s="29" t="s">
        <v>20</v>
      </c>
      <c r="D17" s="10">
        <f>0.6*0.6*0.2*17</f>
        <v>1.224</v>
      </c>
      <c r="E17" s="30" t="s">
        <v>16</v>
      </c>
      <c r="F17" s="11">
        <f>+F16</f>
        <v>4000000</v>
      </c>
      <c r="G17" s="11">
        <f t="shared" si="1"/>
        <v>4896000</v>
      </c>
    </row>
    <row r="18" spans="2:11">
      <c r="B18" s="28"/>
      <c r="C18" s="34" t="s">
        <v>67</v>
      </c>
      <c r="D18" s="14">
        <f>0.15*0.25*63</f>
        <v>2.3624999999999998</v>
      </c>
      <c r="E18" s="35" t="s">
        <v>16</v>
      </c>
      <c r="F18" s="11">
        <f>+F16</f>
        <v>4000000</v>
      </c>
      <c r="G18" s="11">
        <f t="shared" si="1"/>
        <v>9450000</v>
      </c>
      <c r="K18" s="24"/>
    </row>
    <row r="19" spans="2:11">
      <c r="B19" s="28"/>
      <c r="C19" s="31" t="s">
        <v>21</v>
      </c>
      <c r="D19" s="10">
        <f>0.15*0.2*3.5*17</f>
        <v>1.7849999999999999</v>
      </c>
      <c r="E19" s="35" t="s">
        <v>16</v>
      </c>
      <c r="F19" s="11">
        <f>+F16</f>
        <v>4000000</v>
      </c>
      <c r="G19" s="11">
        <f t="shared" si="1"/>
        <v>7140000</v>
      </c>
    </row>
    <row r="20" spans="2:11">
      <c r="B20" s="28"/>
      <c r="C20" s="34" t="s">
        <v>68</v>
      </c>
      <c r="D20" s="14">
        <f>0.15*0.2*63</f>
        <v>1.89</v>
      </c>
      <c r="E20" s="32" t="s">
        <v>16</v>
      </c>
      <c r="F20" s="11">
        <f>+F16</f>
        <v>4000000</v>
      </c>
      <c r="G20" s="11">
        <f t="shared" si="1"/>
        <v>7560000</v>
      </c>
    </row>
    <row r="21" spans="2:11">
      <c r="B21" s="28"/>
      <c r="C21" s="31" t="s">
        <v>22</v>
      </c>
      <c r="D21" s="22">
        <f>72.3*0.1</f>
        <v>7.23</v>
      </c>
      <c r="E21" s="32" t="s">
        <v>16</v>
      </c>
      <c r="F21" s="11">
        <v>1250000</v>
      </c>
      <c r="G21" s="11">
        <f t="shared" si="1"/>
        <v>9037500</v>
      </c>
    </row>
    <row r="22" spans="2:11">
      <c r="B22" s="28"/>
      <c r="C22" s="34" t="s">
        <v>69</v>
      </c>
      <c r="D22" s="10">
        <f>22*0.12</f>
        <v>2.6399999999999997</v>
      </c>
      <c r="E22" s="32" t="s">
        <v>16</v>
      </c>
      <c r="F22" s="11">
        <f>+F16</f>
        <v>4000000</v>
      </c>
      <c r="G22" s="11">
        <f t="shared" si="1"/>
        <v>10559999.999999998</v>
      </c>
    </row>
    <row r="23" spans="2:11">
      <c r="B23" s="28"/>
      <c r="C23" s="28"/>
      <c r="D23" s="6"/>
      <c r="E23" s="28"/>
      <c r="F23" s="1"/>
      <c r="G23" s="7">
        <f>SUM(G16:G22)</f>
        <v>63056100</v>
      </c>
    </row>
    <row r="24" spans="2:11">
      <c r="B24" s="25" t="s">
        <v>23</v>
      </c>
      <c r="C24" s="27" t="s">
        <v>24</v>
      </c>
      <c r="D24" s="8"/>
      <c r="E24" s="25"/>
      <c r="F24" s="9"/>
      <c r="G24" s="9"/>
    </row>
    <row r="25" spans="2:11">
      <c r="B25" s="28"/>
      <c r="C25" s="31" t="s">
        <v>25</v>
      </c>
      <c r="D25" s="14">
        <f>0.7*63</f>
        <v>44.099999999999994</v>
      </c>
      <c r="E25" s="32" t="s">
        <v>26</v>
      </c>
      <c r="F25" s="3">
        <v>275000</v>
      </c>
      <c r="G25" s="11">
        <f t="shared" ref="G25:G27" si="2">+D25*F25</f>
        <v>12127499.999999998</v>
      </c>
    </row>
    <row r="26" spans="2:11">
      <c r="B26" s="30"/>
      <c r="C26" s="36" t="s">
        <v>70</v>
      </c>
      <c r="D26" s="14">
        <f>3.51*63</f>
        <v>221.13</v>
      </c>
      <c r="E26" s="30" t="s">
        <v>26</v>
      </c>
      <c r="F26" s="11">
        <v>190000</v>
      </c>
      <c r="G26" s="11">
        <f t="shared" si="2"/>
        <v>42014700</v>
      </c>
    </row>
    <row r="27" spans="2:11">
      <c r="B27" s="30"/>
      <c r="C27" s="29" t="s">
        <v>27</v>
      </c>
      <c r="D27" s="10">
        <f>+D26*2</f>
        <v>442.26</v>
      </c>
      <c r="E27" s="30" t="s">
        <v>26</v>
      </c>
      <c r="F27" s="11">
        <v>45000</v>
      </c>
      <c r="G27" s="11">
        <f t="shared" si="2"/>
        <v>19901700</v>
      </c>
    </row>
    <row r="28" spans="2:11">
      <c r="B28" s="28"/>
      <c r="C28" s="28"/>
      <c r="D28" s="6"/>
      <c r="E28" s="28"/>
      <c r="F28" s="1"/>
      <c r="G28" s="7">
        <f>SUM(G25:G27)</f>
        <v>74043900</v>
      </c>
    </row>
    <row r="29" spans="2:11">
      <c r="B29" s="25" t="s">
        <v>28</v>
      </c>
      <c r="C29" s="27" t="s">
        <v>29</v>
      </c>
      <c r="D29" s="6"/>
      <c r="E29" s="35"/>
      <c r="F29" s="3"/>
      <c r="G29" s="3"/>
    </row>
    <row r="30" spans="2:11">
      <c r="B30" s="32"/>
      <c r="C30" s="37" t="s">
        <v>30</v>
      </c>
      <c r="D30" s="10">
        <v>70</v>
      </c>
      <c r="E30" s="32" t="s">
        <v>26</v>
      </c>
      <c r="F30" s="12">
        <v>180000</v>
      </c>
      <c r="G30" s="11">
        <f t="shared" ref="G30:G34" si="3">+D30*F30</f>
        <v>12600000</v>
      </c>
    </row>
    <row r="31" spans="2:11">
      <c r="B31" s="30"/>
      <c r="C31" s="29" t="s">
        <v>31</v>
      </c>
      <c r="D31" s="10">
        <v>70</v>
      </c>
      <c r="E31" s="30" t="s">
        <v>26</v>
      </c>
      <c r="F31" s="11">
        <v>95000</v>
      </c>
      <c r="G31" s="11">
        <f t="shared" si="3"/>
        <v>6650000</v>
      </c>
    </row>
    <row r="32" spans="2:11">
      <c r="B32" s="30"/>
      <c r="C32" s="36" t="s">
        <v>72</v>
      </c>
      <c r="D32" s="10">
        <v>92</v>
      </c>
      <c r="E32" s="30" t="s">
        <v>26</v>
      </c>
      <c r="F32" s="11">
        <v>285000</v>
      </c>
      <c r="G32" s="11">
        <f t="shared" si="3"/>
        <v>26220000</v>
      </c>
    </row>
    <row r="33" spans="2:7">
      <c r="B33" s="30"/>
      <c r="C33" s="36" t="s">
        <v>73</v>
      </c>
      <c r="D33" s="10">
        <v>10.199999999999999</v>
      </c>
      <c r="E33" s="38" t="s">
        <v>14</v>
      </c>
      <c r="F33" s="11">
        <v>45000</v>
      </c>
      <c r="G33" s="11">
        <f t="shared" si="3"/>
        <v>458999.99999999994</v>
      </c>
    </row>
    <row r="34" spans="2:7">
      <c r="B34" s="30"/>
      <c r="C34" s="29" t="s">
        <v>32</v>
      </c>
      <c r="D34" s="10">
        <v>34</v>
      </c>
      <c r="E34" s="30" t="s">
        <v>14</v>
      </c>
      <c r="F34" s="11">
        <v>30000</v>
      </c>
      <c r="G34" s="11">
        <f t="shared" si="3"/>
        <v>1020000</v>
      </c>
    </row>
    <row r="35" spans="2:7">
      <c r="B35" s="28"/>
      <c r="C35" s="28"/>
      <c r="D35" s="6"/>
      <c r="E35" s="28"/>
      <c r="F35" s="1"/>
      <c r="G35" s="7">
        <f>SUM(G30:G34)</f>
        <v>46949000</v>
      </c>
    </row>
    <row r="36" spans="2:7">
      <c r="B36" s="25" t="s">
        <v>33</v>
      </c>
      <c r="C36" s="27" t="s">
        <v>34</v>
      </c>
      <c r="D36" s="5"/>
      <c r="E36" s="25"/>
      <c r="F36" s="13"/>
      <c r="G36" s="13"/>
    </row>
    <row r="37" spans="2:7">
      <c r="B37" s="32"/>
      <c r="C37" s="31" t="s">
        <v>35</v>
      </c>
      <c r="D37" s="10">
        <v>94.5</v>
      </c>
      <c r="E37" s="32" t="s">
        <v>14</v>
      </c>
      <c r="F37" s="12">
        <v>180000</v>
      </c>
      <c r="G37" s="11">
        <f t="shared" ref="G37:G40" si="4">+D37*F37</f>
        <v>17010000</v>
      </c>
    </row>
    <row r="38" spans="2:7">
      <c r="B38" s="32"/>
      <c r="C38" s="31" t="s">
        <v>36</v>
      </c>
      <c r="D38" s="10">
        <v>7</v>
      </c>
      <c r="E38" s="32" t="s">
        <v>2</v>
      </c>
      <c r="F38" s="12">
        <v>2250000</v>
      </c>
      <c r="G38" s="11">
        <f t="shared" si="4"/>
        <v>15750000</v>
      </c>
    </row>
    <row r="39" spans="2:7">
      <c r="B39" s="32"/>
      <c r="C39" s="31" t="s">
        <v>37</v>
      </c>
      <c r="D39" s="10">
        <v>6</v>
      </c>
      <c r="E39" s="32" t="s">
        <v>2</v>
      </c>
      <c r="F39" s="12">
        <v>1350000</v>
      </c>
      <c r="G39" s="11">
        <f t="shared" si="4"/>
        <v>8100000</v>
      </c>
    </row>
    <row r="40" spans="2:7">
      <c r="B40" s="32"/>
      <c r="C40" s="31" t="s">
        <v>38</v>
      </c>
      <c r="D40" s="10">
        <v>1</v>
      </c>
      <c r="E40" s="32" t="s">
        <v>2</v>
      </c>
      <c r="F40" s="12">
        <v>550000</v>
      </c>
      <c r="G40" s="11">
        <f t="shared" si="4"/>
        <v>550000</v>
      </c>
    </row>
    <row r="41" spans="2:7">
      <c r="B41" s="31"/>
      <c r="C41" s="31"/>
      <c r="D41" s="14"/>
      <c r="E41" s="31"/>
      <c r="F41" s="15"/>
      <c r="G41" s="7">
        <f>SUM(G37:G40)</f>
        <v>41410000</v>
      </c>
    </row>
    <row r="42" spans="2:7">
      <c r="B42" s="25" t="s">
        <v>39</v>
      </c>
      <c r="C42" s="27" t="s">
        <v>40</v>
      </c>
      <c r="D42" s="8"/>
      <c r="E42" s="25"/>
      <c r="F42" s="9"/>
      <c r="G42" s="9"/>
    </row>
    <row r="43" spans="2:7">
      <c r="B43" s="32"/>
      <c r="C43" s="39" t="s">
        <v>71</v>
      </c>
      <c r="D43" s="23">
        <v>71</v>
      </c>
      <c r="E43" s="32" t="s">
        <v>26</v>
      </c>
      <c r="F43" s="12">
        <v>200000</v>
      </c>
      <c r="G43" s="11">
        <f t="shared" ref="G43:G45" si="5">+D43*F43</f>
        <v>14200000</v>
      </c>
    </row>
    <row r="44" spans="2:7">
      <c r="B44" s="32"/>
      <c r="C44" s="37" t="s">
        <v>41</v>
      </c>
      <c r="D44" s="23">
        <v>2</v>
      </c>
      <c r="E44" s="32" t="s">
        <v>26</v>
      </c>
      <c r="F44" s="12">
        <v>160000</v>
      </c>
      <c r="G44" s="11">
        <f t="shared" si="5"/>
        <v>320000</v>
      </c>
    </row>
    <row r="45" spans="2:7">
      <c r="B45" s="32"/>
      <c r="C45" s="37" t="s">
        <v>42</v>
      </c>
      <c r="D45" s="23">
        <v>12</v>
      </c>
      <c r="E45" s="32" t="s">
        <v>26</v>
      </c>
      <c r="F45" s="12">
        <v>200000</v>
      </c>
      <c r="G45" s="11">
        <f t="shared" si="5"/>
        <v>2400000</v>
      </c>
    </row>
    <row r="46" spans="2:7">
      <c r="B46" s="28"/>
      <c r="C46" s="28"/>
      <c r="D46" s="6"/>
      <c r="E46" s="28"/>
      <c r="F46" s="1"/>
      <c r="G46" s="7">
        <f>SUM(G43:G45)</f>
        <v>16920000</v>
      </c>
    </row>
    <row r="47" spans="2:7">
      <c r="B47" s="25" t="s">
        <v>43</v>
      </c>
      <c r="C47" s="27" t="s">
        <v>44</v>
      </c>
      <c r="D47" s="6"/>
      <c r="E47" s="35"/>
      <c r="F47" s="3"/>
      <c r="G47" s="3"/>
    </row>
    <row r="48" spans="2:7">
      <c r="B48" s="35"/>
      <c r="C48" s="31" t="s">
        <v>45</v>
      </c>
      <c r="D48" s="6">
        <f>+D27</f>
        <v>442.26</v>
      </c>
      <c r="E48" s="32" t="s">
        <v>26</v>
      </c>
      <c r="F48" s="3">
        <v>60000</v>
      </c>
      <c r="G48" s="11">
        <f t="shared" ref="G48:G49" si="6">+D48*F48</f>
        <v>26535600</v>
      </c>
    </row>
    <row r="49" spans="2:7">
      <c r="B49" s="35"/>
      <c r="C49" s="31" t="s">
        <v>46</v>
      </c>
      <c r="D49" s="6">
        <f>+D30</f>
        <v>70</v>
      </c>
      <c r="E49" s="32" t="s">
        <v>26</v>
      </c>
      <c r="F49" s="3">
        <v>60000</v>
      </c>
      <c r="G49" s="11">
        <f t="shared" si="6"/>
        <v>4200000</v>
      </c>
    </row>
    <row r="50" spans="2:7">
      <c r="B50" s="28"/>
      <c r="C50" s="28"/>
      <c r="D50" s="6"/>
      <c r="E50" s="28"/>
      <c r="F50" s="1"/>
      <c r="G50" s="7">
        <f>SUM(G48:G49)</f>
        <v>30735600</v>
      </c>
    </row>
    <row r="51" spans="2:7">
      <c r="B51" s="25" t="s">
        <v>47</v>
      </c>
      <c r="C51" s="40" t="s">
        <v>48</v>
      </c>
      <c r="D51" s="6"/>
      <c r="E51" s="35"/>
      <c r="F51" s="3"/>
      <c r="G51" s="3"/>
    </row>
    <row r="52" spans="2:7">
      <c r="B52" s="35"/>
      <c r="C52" s="41" t="s">
        <v>49</v>
      </c>
      <c r="D52" s="16">
        <v>5</v>
      </c>
      <c r="E52" s="42" t="s">
        <v>2</v>
      </c>
      <c r="F52" s="17">
        <v>225000</v>
      </c>
      <c r="G52" s="11">
        <f t="shared" ref="G52:G56" si="7">+D52*F52</f>
        <v>1125000</v>
      </c>
    </row>
    <row r="53" spans="2:7">
      <c r="B53" s="35"/>
      <c r="C53" s="41" t="s">
        <v>50</v>
      </c>
      <c r="D53" s="16">
        <v>2</v>
      </c>
      <c r="E53" s="42" t="s">
        <v>2</v>
      </c>
      <c r="F53" s="17">
        <v>225000</v>
      </c>
      <c r="G53" s="11">
        <f t="shared" si="7"/>
        <v>450000</v>
      </c>
    </row>
    <row r="54" spans="2:7">
      <c r="B54" s="35"/>
      <c r="C54" s="41" t="s">
        <v>51</v>
      </c>
      <c r="D54" s="16">
        <v>10</v>
      </c>
      <c r="E54" s="42" t="s">
        <v>2</v>
      </c>
      <c r="F54" s="17">
        <v>225000</v>
      </c>
      <c r="G54" s="11">
        <f t="shared" si="7"/>
        <v>2250000</v>
      </c>
    </row>
    <row r="55" spans="2:7">
      <c r="B55" s="35"/>
      <c r="C55" s="41" t="s">
        <v>52</v>
      </c>
      <c r="D55" s="16">
        <v>10</v>
      </c>
      <c r="E55" s="42" t="s">
        <v>53</v>
      </c>
      <c r="F55" s="17">
        <v>225000</v>
      </c>
      <c r="G55" s="11">
        <f t="shared" si="7"/>
        <v>2250000</v>
      </c>
    </row>
    <row r="56" spans="2:7">
      <c r="B56" s="35"/>
      <c r="C56" s="41" t="s">
        <v>54</v>
      </c>
      <c r="D56" s="16">
        <v>1</v>
      </c>
      <c r="E56" s="42" t="s">
        <v>2</v>
      </c>
      <c r="F56" s="17">
        <v>350000</v>
      </c>
      <c r="G56" s="11">
        <f t="shared" si="7"/>
        <v>350000</v>
      </c>
    </row>
    <row r="57" spans="2:7">
      <c r="B57" s="28"/>
      <c r="C57" s="28"/>
      <c r="D57" s="6"/>
      <c r="E57" s="28"/>
      <c r="F57" s="1"/>
      <c r="G57" s="7">
        <f>SUM(G52:G56)</f>
        <v>6425000</v>
      </c>
    </row>
    <row r="58" spans="2:7">
      <c r="B58" s="25" t="s">
        <v>55</v>
      </c>
      <c r="C58" s="40" t="s">
        <v>56</v>
      </c>
      <c r="D58" s="6"/>
      <c r="E58" s="35"/>
      <c r="F58" s="3"/>
      <c r="G58" s="3"/>
    </row>
    <row r="59" spans="2:7">
      <c r="B59" s="35"/>
      <c r="C59" s="41" t="s">
        <v>57</v>
      </c>
      <c r="D59" s="16">
        <v>6</v>
      </c>
      <c r="E59" s="42" t="s">
        <v>14</v>
      </c>
      <c r="F59" s="17">
        <v>125000</v>
      </c>
      <c r="G59" s="11">
        <f t="shared" ref="G59:G65" si="8">+D59*F59</f>
        <v>750000</v>
      </c>
    </row>
    <row r="60" spans="2:7">
      <c r="B60" s="35"/>
      <c r="C60" s="41" t="s">
        <v>58</v>
      </c>
      <c r="D60" s="16">
        <v>10</v>
      </c>
      <c r="E60" s="42" t="s">
        <v>14</v>
      </c>
      <c r="F60" s="17">
        <v>120000</v>
      </c>
      <c r="G60" s="11">
        <f t="shared" si="8"/>
        <v>1200000</v>
      </c>
    </row>
    <row r="61" spans="2:7">
      <c r="B61" s="35"/>
      <c r="C61" s="41" t="s">
        <v>59</v>
      </c>
      <c r="D61" s="16">
        <v>14</v>
      </c>
      <c r="E61" s="42" t="s">
        <v>14</v>
      </c>
      <c r="F61" s="17">
        <v>50000</v>
      </c>
      <c r="G61" s="11">
        <f t="shared" si="8"/>
        <v>700000</v>
      </c>
    </row>
    <row r="62" spans="2:7">
      <c r="B62" s="35"/>
      <c r="C62" s="41" t="s">
        <v>60</v>
      </c>
      <c r="D62" s="16">
        <v>1</v>
      </c>
      <c r="E62" s="42" t="s">
        <v>61</v>
      </c>
      <c r="F62" s="17">
        <v>550000</v>
      </c>
      <c r="G62" s="11">
        <f t="shared" si="8"/>
        <v>550000</v>
      </c>
    </row>
    <row r="63" spans="2:7">
      <c r="B63" s="35"/>
      <c r="C63" s="41" t="s">
        <v>62</v>
      </c>
      <c r="D63" s="16">
        <v>1</v>
      </c>
      <c r="E63" s="42" t="s">
        <v>2</v>
      </c>
      <c r="F63" s="17">
        <v>60000</v>
      </c>
      <c r="G63" s="11">
        <f t="shared" si="8"/>
        <v>60000</v>
      </c>
    </row>
    <row r="64" spans="2:7">
      <c r="B64" s="35"/>
      <c r="C64" s="41" t="s">
        <v>63</v>
      </c>
      <c r="D64" s="16">
        <v>4</v>
      </c>
      <c r="E64" s="42" t="s">
        <v>2</v>
      </c>
      <c r="F64" s="17">
        <v>45000</v>
      </c>
      <c r="G64" s="11">
        <f t="shared" si="8"/>
        <v>180000</v>
      </c>
    </row>
    <row r="65" spans="2:10">
      <c r="B65" s="35"/>
      <c r="C65" s="41" t="s">
        <v>64</v>
      </c>
      <c r="D65" s="16">
        <v>1</v>
      </c>
      <c r="E65" s="42" t="s">
        <v>2</v>
      </c>
      <c r="F65" s="17">
        <v>2100000</v>
      </c>
      <c r="G65" s="11">
        <f t="shared" si="8"/>
        <v>2100000</v>
      </c>
    </row>
    <row r="66" spans="2:10">
      <c r="B66" s="28"/>
      <c r="C66" s="28"/>
      <c r="D66" s="6"/>
      <c r="E66" s="28"/>
      <c r="F66" s="1"/>
      <c r="G66" s="7">
        <f>SUM(G59:G65)</f>
        <v>5540000</v>
      </c>
    </row>
    <row r="67" spans="2:10" ht="15.75" thickBot="1">
      <c r="B67" s="43"/>
      <c r="C67" s="43"/>
      <c r="D67" s="18"/>
      <c r="E67" s="43"/>
      <c r="F67" s="43"/>
      <c r="G67" s="43"/>
    </row>
    <row r="68" spans="2:10">
      <c r="B68" s="44"/>
      <c r="C68" s="44"/>
      <c r="D68" s="44"/>
      <c r="E68" s="44"/>
      <c r="F68" s="45" t="s">
        <v>65</v>
      </c>
      <c r="G68" s="46">
        <f>+G9+G14+G23+G28+G35+G41+G46+G50+G57+G66</f>
        <v>309246050</v>
      </c>
    </row>
    <row r="69" spans="2:10">
      <c r="G69" s="19">
        <v>73</v>
      </c>
    </row>
    <row r="70" spans="2:10">
      <c r="G70" s="49">
        <f>+G68/G69</f>
        <v>4236247.2602739725</v>
      </c>
    </row>
    <row r="72" spans="2:10">
      <c r="G72" s="51"/>
    </row>
    <row r="73" spans="2:10">
      <c r="G73" s="51"/>
      <c r="J73" s="53"/>
    </row>
    <row r="75" spans="2:10">
      <c r="G75" s="53"/>
    </row>
  </sheetData>
  <mergeCells count="1">
    <mergeCell ref="B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Tio Azhari</cp:lastModifiedBy>
  <cp:lastPrinted>2026-09-22T23:41:49Z</cp:lastPrinted>
  <dcterms:created xsi:type="dcterms:W3CDTF">2006-09-16T00:00:00Z</dcterms:created>
  <dcterms:modified xsi:type="dcterms:W3CDTF">2026-09-28T23:39:11Z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355FFF9640064AA9B363AECB77F4AE50</vt:lpwstr>
  </property>
  <property fmtid="{D5CDD505-2E9C-101B-9397-08002B2CF9AE}" pid="3" name="KSOProductBuildVer">
    <vt:lpwstr>1033-11.2.0.11341</vt:lpwstr>
  </property>
</Properties>
</file>